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ummary" sheetId="2" r:id="rId6"/>
  </sheets>
  <definedNames/>
  <calcPr/>
</workbook>
</file>

<file path=xl/sharedStrings.xml><?xml version="1.0" encoding="utf-8"?>
<sst xmlns="http://schemas.openxmlformats.org/spreadsheetml/2006/main" count="46" uniqueCount="24">
  <si>
    <t>Channel</t>
  </si>
  <si>
    <t>Spend</t>
  </si>
  <si>
    <t>Impressions</t>
  </si>
  <si>
    <t>Clicks</t>
  </si>
  <si>
    <t>Conversions</t>
  </si>
  <si>
    <t>Revenue</t>
  </si>
  <si>
    <t>CTR</t>
  </si>
  <si>
    <t>Conversion Rate</t>
  </si>
  <si>
    <t>CPC</t>
  </si>
  <si>
    <t>CAC</t>
  </si>
  <si>
    <t>ROAS</t>
  </si>
  <si>
    <t>Email</t>
  </si>
  <si>
    <t>Social Media</t>
  </si>
  <si>
    <t>Paid Search</t>
  </si>
  <si>
    <t>Display Ads</t>
  </si>
  <si>
    <t>Total Spend</t>
  </si>
  <si>
    <t>Total Revenue</t>
  </si>
  <si>
    <t>Total Conversions</t>
  </si>
  <si>
    <t>📊 Insight – Revenue by Channel</t>
  </si>
  <si>
    <t>Paid Search generates the highest revenue, showing strong high-intent customer acquisition. Email also performs efficiently with strong conversion-driven revenue.</t>
  </si>
  <si>
    <t>📊 Insight – Spend vs Revenue</t>
  </si>
  <si>
    <t>Paid Search has the highest marketing spend but also delivers the highest revenue, showing a scale-driven but effective strategy. Email marketing achieves strong revenue with relatively lower spend, making it the most cost-efficient channel. Display Ads show low revenue compared to spend, indicating poor return on investment.</t>
  </si>
  <si>
    <t>📊 Insight – ROAS by Channel</t>
  </si>
  <si>
    <t>Email marketing has the highest ROAS, making it the most efficient channel in terms of return on ad spend. Paid Search delivers moderate ROAS with strong revenue contribution. Social Media shows average efficiency, while Display Ads have the lowest ROAS, indicating inefficient budget utilization and need for optimization.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</si>
</sst>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right" readingOrder="0"/>
    </xf>
    <xf borderId="0" fillId="0" fontId="2" numFmtId="0" xfId="0" applyAlignment="1" applyFont="1">
      <alignment readingOrder="0"/>
    </xf>
    <xf borderId="0" fillId="0" fontId="2" numFmtId="0" xfId="0" applyAlignment="1" applyFont="1">
      <alignment horizontal="right" readingOrder="0"/>
    </xf>
    <xf borderId="0" fillId="0" fontId="2" numFmtId="0" xfId="0" applyFont="1"/>
    <xf borderId="0" fillId="0" fontId="1" numFmtId="0" xfId="0" applyFont="1"/>
    <xf borderId="0" fillId="0" fontId="1" numFmtId="0" xfId="0" applyAlignment="1" applyFont="1">
      <alignment readingOrder="0"/>
    </xf>
    <xf borderId="0" fillId="0" fontId="2"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Email, Social Media, Paid Search and Display Ads</a:t>
            </a:r>
          </a:p>
        </c:rich>
      </c:tx>
      <c:overlay val="0"/>
    </c:title>
    <c:plotArea>
      <c:layout/>
      <c:barChart>
        <c:barDir val="col"/>
        <c:ser>
          <c:idx val="0"/>
          <c:order val="0"/>
          <c:tx>
            <c:strRef>
              <c:f>Summary!$A$2</c:f>
            </c:strRef>
          </c:tx>
          <c:spPr>
            <a:solidFill>
              <a:schemeClr val="accent1"/>
            </a:solidFill>
            <a:ln cmpd="sng">
              <a:solidFill>
                <a:srgbClr val="000000"/>
              </a:solidFill>
            </a:ln>
          </c:spPr>
          <c:cat>
            <c:strRef>
              <c:f>Summary!$B$1:$C$1</c:f>
            </c:strRef>
          </c:cat>
          <c:val>
            <c:numRef>
              <c:f>Summary!$B$2:$C$2</c:f>
              <c:numCache/>
            </c:numRef>
          </c:val>
        </c:ser>
        <c:ser>
          <c:idx val="1"/>
          <c:order val="1"/>
          <c:tx>
            <c:strRef>
              <c:f>Summary!$A$3</c:f>
            </c:strRef>
          </c:tx>
          <c:spPr>
            <a:solidFill>
              <a:schemeClr val="accent2"/>
            </a:solidFill>
            <a:ln cmpd="sng">
              <a:solidFill>
                <a:srgbClr val="000000"/>
              </a:solidFill>
            </a:ln>
          </c:spPr>
          <c:cat>
            <c:strRef>
              <c:f>Summary!$B$1:$C$1</c:f>
            </c:strRef>
          </c:cat>
          <c:val>
            <c:numRef>
              <c:f>Summary!$B$3:$C$3</c:f>
              <c:numCache/>
            </c:numRef>
          </c:val>
        </c:ser>
        <c:ser>
          <c:idx val="2"/>
          <c:order val="2"/>
          <c:tx>
            <c:strRef>
              <c:f>Summary!$A$4</c:f>
            </c:strRef>
          </c:tx>
          <c:spPr>
            <a:solidFill>
              <a:schemeClr val="accent3"/>
            </a:solidFill>
            <a:ln cmpd="sng">
              <a:solidFill>
                <a:srgbClr val="000000"/>
              </a:solidFill>
            </a:ln>
          </c:spPr>
          <c:cat>
            <c:strRef>
              <c:f>Summary!$B$1:$C$1</c:f>
            </c:strRef>
          </c:cat>
          <c:val>
            <c:numRef>
              <c:f>Summary!$B$4:$C$4</c:f>
              <c:numCache/>
            </c:numRef>
          </c:val>
        </c:ser>
        <c:ser>
          <c:idx val="3"/>
          <c:order val="3"/>
          <c:tx>
            <c:strRef>
              <c:f>Summary!$A$5</c:f>
            </c:strRef>
          </c:tx>
          <c:spPr>
            <a:solidFill>
              <a:schemeClr val="accent4"/>
            </a:solidFill>
            <a:ln cmpd="sng">
              <a:solidFill>
                <a:srgbClr val="000000"/>
              </a:solidFill>
            </a:ln>
          </c:spPr>
          <c:cat>
            <c:strRef>
              <c:f>Summary!$B$1:$C$1</c:f>
            </c:strRef>
          </c:cat>
          <c:val>
            <c:numRef>
              <c:f>Summary!$B$5:$C$5</c:f>
              <c:numCache/>
            </c:numRef>
          </c:val>
        </c:ser>
        <c:axId val="1567390586"/>
        <c:axId val="2128502755"/>
      </c:barChart>
      <c:catAx>
        <c:axId val="15673905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Channel</a:t>
                </a:r>
              </a:p>
            </c:rich>
          </c:tx>
          <c:overlay val="0"/>
        </c:title>
        <c:numFmt formatCode="General" sourceLinked="1"/>
        <c:majorTickMark val="none"/>
        <c:minorTickMark val="none"/>
        <c:spPr/>
        <c:txPr>
          <a:bodyPr/>
          <a:lstStyle/>
          <a:p>
            <a:pPr lvl="0">
              <a:defRPr b="0">
                <a:solidFill>
                  <a:srgbClr val="000000"/>
                </a:solidFill>
                <a:latin typeface="+mn-lt"/>
              </a:defRPr>
            </a:pPr>
          </a:p>
        </c:txPr>
        <c:crossAx val="2128502755"/>
      </c:catAx>
      <c:valAx>
        <c:axId val="21285027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739058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vs. Channel</a:t>
            </a:r>
          </a:p>
        </c:rich>
      </c:tx>
      <c:overlay val="0"/>
    </c:title>
    <c:plotArea>
      <c:layout/>
      <c:barChart>
        <c:barDir val="col"/>
        <c:ser>
          <c:idx val="0"/>
          <c:order val="0"/>
          <c:tx>
            <c:strRef>
              <c:f>Summary!$K$1</c:f>
            </c:strRef>
          </c:tx>
          <c:spPr>
            <a:solidFill>
              <a:schemeClr val="accent1"/>
            </a:solidFill>
            <a:ln cmpd="sng">
              <a:solidFill>
                <a:srgbClr val="000000"/>
              </a:solidFill>
            </a:ln>
          </c:spPr>
          <c:cat>
            <c:strRef>
              <c:f>Summary!$J$2:$J$5</c:f>
            </c:strRef>
          </c:cat>
          <c:val>
            <c:numRef>
              <c:f>Summary!$K$2:$K$5</c:f>
              <c:numCache/>
            </c:numRef>
          </c:val>
        </c:ser>
        <c:axId val="28350398"/>
        <c:axId val="344218682"/>
      </c:barChart>
      <c:catAx>
        <c:axId val="283503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Channel</a:t>
                </a:r>
              </a:p>
            </c:rich>
          </c:tx>
          <c:overlay val="0"/>
        </c:title>
        <c:numFmt formatCode="General" sourceLinked="1"/>
        <c:majorTickMark val="none"/>
        <c:minorTickMark val="none"/>
        <c:spPr/>
        <c:txPr>
          <a:bodyPr/>
          <a:lstStyle/>
          <a:p>
            <a:pPr lvl="0">
              <a:defRPr b="0">
                <a:solidFill>
                  <a:srgbClr val="000000"/>
                </a:solidFill>
                <a:latin typeface="+mn-lt"/>
              </a:defRPr>
            </a:pPr>
          </a:p>
        </c:txPr>
        <c:crossAx val="344218682"/>
      </c:catAx>
      <c:valAx>
        <c:axId val="3442186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35039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ROAS vs. Channel</a:t>
            </a:r>
          </a:p>
        </c:rich>
      </c:tx>
      <c:overlay val="0"/>
    </c:title>
    <c:plotArea>
      <c:layout/>
      <c:barChart>
        <c:barDir val="col"/>
        <c:ser>
          <c:idx val="0"/>
          <c:order val="0"/>
          <c:tx>
            <c:strRef>
              <c:f>Summary!$K$8</c:f>
            </c:strRef>
          </c:tx>
          <c:spPr>
            <a:solidFill>
              <a:schemeClr val="accent1"/>
            </a:solidFill>
            <a:ln cmpd="sng">
              <a:solidFill>
                <a:srgbClr val="000000"/>
              </a:solidFill>
            </a:ln>
          </c:spPr>
          <c:cat>
            <c:strRef>
              <c:f>Summary!$J$9:$J$12</c:f>
            </c:strRef>
          </c:cat>
          <c:val>
            <c:numRef>
              <c:f>Summary!$K$9:$K$12</c:f>
              <c:numCache/>
            </c:numRef>
          </c:val>
        </c:ser>
        <c:axId val="714540550"/>
        <c:axId val="2086402179"/>
      </c:barChart>
      <c:catAx>
        <c:axId val="7145405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Channel</a:t>
                </a:r>
              </a:p>
            </c:rich>
          </c:tx>
          <c:overlay val="0"/>
        </c:title>
        <c:numFmt formatCode="General" sourceLinked="1"/>
        <c:majorTickMark val="none"/>
        <c:minorTickMark val="none"/>
        <c:spPr/>
        <c:txPr>
          <a:bodyPr/>
          <a:lstStyle/>
          <a:p>
            <a:pPr lvl="0">
              <a:defRPr b="0">
                <a:solidFill>
                  <a:srgbClr val="000000"/>
                </a:solidFill>
                <a:latin typeface="+mn-lt"/>
              </a:defRPr>
            </a:pPr>
          </a:p>
        </c:txPr>
        <c:crossAx val="2086402179"/>
      </c:catAx>
      <c:valAx>
        <c:axId val="20864021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ROAS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14540550"/>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21</xdr:row>
      <xdr:rowOff>114300</xdr:rowOff>
    </xdr:from>
    <xdr:ext cx="2762250" cy="1714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161925</xdr:colOff>
      <xdr:row>9</xdr:row>
      <xdr:rowOff>19050</xdr:rowOff>
    </xdr:from>
    <xdr:ext cx="2762250" cy="17145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333375</xdr:colOff>
      <xdr:row>34</xdr:row>
      <xdr:rowOff>9525</xdr:rowOff>
    </xdr:from>
    <xdr:ext cx="2886075" cy="17145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5.13"/>
  </cols>
  <sheetData>
    <row r="1">
      <c r="A1" s="1" t="s">
        <v>0</v>
      </c>
      <c r="B1" s="2" t="s">
        <v>1</v>
      </c>
      <c r="C1" s="2" t="s">
        <v>2</v>
      </c>
      <c r="D1" s="2" t="s">
        <v>3</v>
      </c>
      <c r="E1" s="2" t="s">
        <v>4</v>
      </c>
      <c r="F1" s="2" t="s">
        <v>5</v>
      </c>
      <c r="G1" s="1" t="s">
        <v>6</v>
      </c>
      <c r="H1" s="1" t="s">
        <v>7</v>
      </c>
      <c r="I1" s="1" t="s">
        <v>8</v>
      </c>
      <c r="J1" s="1" t="s">
        <v>9</v>
      </c>
      <c r="K1" s="1" t="s">
        <v>10</v>
      </c>
    </row>
    <row r="2">
      <c r="A2" s="3" t="s">
        <v>11</v>
      </c>
      <c r="B2" s="4">
        <v>5000.0</v>
      </c>
      <c r="C2" s="4">
        <v>50000.0</v>
      </c>
      <c r="D2" s="4">
        <v>2500.0</v>
      </c>
      <c r="E2" s="4">
        <v>250.0</v>
      </c>
      <c r="F2" s="4">
        <v>25000.0</v>
      </c>
      <c r="G2" s="5">
        <f t="shared" ref="G2:H2" si="1">D2/C2*100</f>
        <v>5</v>
      </c>
      <c r="H2" s="6">
        <f t="shared" si="1"/>
        <v>10</v>
      </c>
      <c r="I2" s="6">
        <f t="shared" ref="I2:I9" si="3">B2/D2</f>
        <v>2</v>
      </c>
      <c r="J2" s="5">
        <f t="shared" ref="J2:J9" si="4">B2/E2</f>
        <v>20</v>
      </c>
      <c r="K2" s="5">
        <f t="shared" ref="K2:K9" si="5">F2/B2</f>
        <v>5</v>
      </c>
    </row>
    <row r="3">
      <c r="A3" s="3" t="s">
        <v>12</v>
      </c>
      <c r="B3" s="4">
        <v>8000.0</v>
      </c>
      <c r="C3" s="4">
        <v>70000.0</v>
      </c>
      <c r="D3" s="4">
        <v>3500.0</v>
      </c>
      <c r="E3" s="4">
        <v>180.0</v>
      </c>
      <c r="F3" s="4">
        <v>22000.0</v>
      </c>
      <c r="G3" s="5">
        <f t="shared" ref="G3:H3" si="2">D3/C3*100</f>
        <v>5</v>
      </c>
      <c r="H3" s="6">
        <f t="shared" si="2"/>
        <v>5.142857143</v>
      </c>
      <c r="I3" s="6">
        <f t="shared" si="3"/>
        <v>2.285714286</v>
      </c>
      <c r="J3" s="5">
        <f t="shared" si="4"/>
        <v>44.44444444</v>
      </c>
      <c r="K3" s="5">
        <f t="shared" si="5"/>
        <v>2.75</v>
      </c>
    </row>
    <row r="4">
      <c r="A4" s="3" t="s">
        <v>13</v>
      </c>
      <c r="B4" s="4">
        <v>12000.0</v>
      </c>
      <c r="C4" s="4">
        <v>90000.0</v>
      </c>
      <c r="D4" s="4">
        <v>4000.0</v>
      </c>
      <c r="E4" s="4">
        <v>320.0</v>
      </c>
      <c r="F4" s="4">
        <v>45000.0</v>
      </c>
      <c r="G4" s="5">
        <f t="shared" ref="G4:H4" si="6">D4/C4*100</f>
        <v>4.444444444</v>
      </c>
      <c r="H4" s="6">
        <f t="shared" si="6"/>
        <v>8</v>
      </c>
      <c r="I4" s="6">
        <f t="shared" si="3"/>
        <v>3</v>
      </c>
      <c r="J4" s="5">
        <f t="shared" si="4"/>
        <v>37.5</v>
      </c>
      <c r="K4" s="5">
        <f t="shared" si="5"/>
        <v>3.75</v>
      </c>
    </row>
    <row r="5">
      <c r="A5" s="3" t="s">
        <v>14</v>
      </c>
      <c r="B5" s="4">
        <v>6000.0</v>
      </c>
      <c r="C5" s="4">
        <v>60000.0</v>
      </c>
      <c r="D5" s="4">
        <v>2500.0</v>
      </c>
      <c r="E5" s="4">
        <v>120.0</v>
      </c>
      <c r="F5" s="4">
        <v>15000.0</v>
      </c>
      <c r="G5" s="5">
        <f t="shared" ref="G5:H5" si="7">D5/C5*100</f>
        <v>4.166666667</v>
      </c>
      <c r="H5" s="6">
        <f t="shared" si="7"/>
        <v>4.8</v>
      </c>
      <c r="I5" s="6">
        <f t="shared" si="3"/>
        <v>2.4</v>
      </c>
      <c r="J5" s="5">
        <f t="shared" si="4"/>
        <v>50</v>
      </c>
      <c r="K5" s="5">
        <f t="shared" si="5"/>
        <v>2.5</v>
      </c>
    </row>
    <row r="6">
      <c r="A6" s="3" t="s">
        <v>11</v>
      </c>
      <c r="B6" s="4">
        <v>4500.0</v>
      </c>
      <c r="C6" s="4">
        <v>48000.0</v>
      </c>
      <c r="D6" s="4">
        <v>2200.0</v>
      </c>
      <c r="E6" s="4">
        <v>230.0</v>
      </c>
      <c r="F6" s="4">
        <v>23000.0</v>
      </c>
      <c r="G6" s="5">
        <f t="shared" ref="G6:H6" si="8">D6/C6*100</f>
        <v>4.583333333</v>
      </c>
      <c r="H6" s="6">
        <f t="shared" si="8"/>
        <v>10.45454545</v>
      </c>
      <c r="I6" s="6">
        <f t="shared" si="3"/>
        <v>2.045454545</v>
      </c>
      <c r="J6" s="5">
        <f t="shared" si="4"/>
        <v>19.56521739</v>
      </c>
      <c r="K6" s="5">
        <f t="shared" si="5"/>
        <v>5.111111111</v>
      </c>
    </row>
    <row r="7">
      <c r="A7" s="3" t="s">
        <v>12</v>
      </c>
      <c r="B7" s="4">
        <v>7500.0</v>
      </c>
      <c r="C7" s="4">
        <v>65000.0</v>
      </c>
      <c r="D7" s="4">
        <v>3200.0</v>
      </c>
      <c r="E7" s="4">
        <v>170.0</v>
      </c>
      <c r="F7" s="4">
        <v>21000.0</v>
      </c>
      <c r="G7" s="5">
        <f t="shared" ref="G7:H7" si="9">D7/C7*100</f>
        <v>4.923076923</v>
      </c>
      <c r="H7" s="6">
        <f t="shared" si="9"/>
        <v>5.3125</v>
      </c>
      <c r="I7" s="6">
        <f t="shared" si="3"/>
        <v>2.34375</v>
      </c>
      <c r="J7" s="5">
        <f t="shared" si="4"/>
        <v>44.11764706</v>
      </c>
      <c r="K7" s="5">
        <f t="shared" si="5"/>
        <v>2.8</v>
      </c>
    </row>
    <row r="8">
      <c r="A8" s="3" t="s">
        <v>13</v>
      </c>
      <c r="B8" s="4">
        <v>13000.0</v>
      </c>
      <c r="C8" s="4">
        <v>95000.0</v>
      </c>
      <c r="D8" s="4">
        <v>4300.0</v>
      </c>
      <c r="E8" s="4">
        <v>340.0</v>
      </c>
      <c r="F8" s="4">
        <v>48000.0</v>
      </c>
      <c r="G8" s="5">
        <f t="shared" ref="G8:H8" si="10">D8/C8*100</f>
        <v>4.526315789</v>
      </c>
      <c r="H8" s="6">
        <f t="shared" si="10"/>
        <v>7.906976744</v>
      </c>
      <c r="I8" s="6">
        <f t="shared" si="3"/>
        <v>3.023255814</v>
      </c>
      <c r="J8" s="5">
        <f t="shared" si="4"/>
        <v>38.23529412</v>
      </c>
      <c r="K8" s="5">
        <f t="shared" si="5"/>
        <v>3.692307692</v>
      </c>
    </row>
    <row r="9">
      <c r="A9" s="3" t="s">
        <v>14</v>
      </c>
      <c r="B9" s="4">
        <v>5500.0</v>
      </c>
      <c r="C9" s="4">
        <v>58000.0</v>
      </c>
      <c r="D9" s="4">
        <v>2400.0</v>
      </c>
      <c r="E9" s="4">
        <v>110.0</v>
      </c>
      <c r="F9" s="4">
        <v>14000.0</v>
      </c>
      <c r="G9" s="5">
        <f t="shared" ref="G9:H9" si="11">D9/C9*100</f>
        <v>4.137931034</v>
      </c>
      <c r="H9" s="6">
        <f t="shared" si="11"/>
        <v>4.583333333</v>
      </c>
      <c r="I9" s="6">
        <f t="shared" si="3"/>
        <v>2.291666667</v>
      </c>
      <c r="J9" s="5">
        <f t="shared" si="4"/>
        <v>50</v>
      </c>
      <c r="K9" s="5">
        <f t="shared" si="5"/>
        <v>2.545454545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7.13"/>
  </cols>
  <sheetData>
    <row r="1">
      <c r="A1" s="1" t="s">
        <v>0</v>
      </c>
      <c r="B1" s="2" t="s">
        <v>15</v>
      </c>
      <c r="C1" s="2" t="s">
        <v>16</v>
      </c>
      <c r="D1" s="2" t="s">
        <v>17</v>
      </c>
      <c r="E1" s="7" t="s">
        <v>10</v>
      </c>
      <c r="F1" s="7"/>
      <c r="J1" s="1" t="s">
        <v>0</v>
      </c>
      <c r="K1" s="2" t="s">
        <v>5</v>
      </c>
    </row>
    <row r="2">
      <c r="A2" s="3" t="s">
        <v>11</v>
      </c>
      <c r="B2" s="8">
        <f>SUMIF(Sheet1!A:A,"Email",Sheet1!B:B)</f>
        <v>9500</v>
      </c>
      <c r="C2" s="8">
        <f>SUMIF(Sheet1!A:A,"Email",Sheet1!F:F)</f>
        <v>48000</v>
      </c>
      <c r="D2" s="8">
        <f>SUMIF(Sheet1!A:A,"Email",Sheet1!E:E)</f>
        <v>480</v>
      </c>
      <c r="E2" s="3">
        <f t="shared" ref="E2:E5" si="1">C2/B2</f>
        <v>5.052631579</v>
      </c>
      <c r="J2" s="3" t="s">
        <v>11</v>
      </c>
      <c r="K2" s="4">
        <v>48000.0</v>
      </c>
    </row>
    <row r="3">
      <c r="A3" s="3" t="s">
        <v>12</v>
      </c>
      <c r="B3" s="8">
        <f>SUMIF(Sheet1!A:A,"Social Media",Sheet1!B:B)</f>
        <v>15500</v>
      </c>
      <c r="C3" s="8">
        <f>SUMIF(Sheet1!A:A,"Social Media",Sheet1!F:F)</f>
        <v>43000</v>
      </c>
      <c r="D3" s="8">
        <f>SUMIF(Sheet1!A:A,"Social Media",Sheet1!E:E)</f>
        <v>350</v>
      </c>
      <c r="E3" s="3">
        <f t="shared" si="1"/>
        <v>2.774193548</v>
      </c>
      <c r="J3" s="3" t="s">
        <v>12</v>
      </c>
      <c r="K3" s="4">
        <v>43000.0</v>
      </c>
    </row>
    <row r="4">
      <c r="A4" s="3" t="s">
        <v>13</v>
      </c>
      <c r="B4" s="8">
        <f>SUMIF(Sheet1!A:A,"Paid Search",Sheet1!B:B)</f>
        <v>25000</v>
      </c>
      <c r="C4" s="8">
        <f>SUMIF(Sheet1!A:A,"Paid Search",Sheet1!F:F)</f>
        <v>93000</v>
      </c>
      <c r="D4" s="8">
        <f>SUMIF(Sheet1!A:A,"Paid Search",Sheet1!E:E)</f>
        <v>660</v>
      </c>
      <c r="E4" s="3">
        <f t="shared" si="1"/>
        <v>3.72</v>
      </c>
      <c r="J4" s="3" t="s">
        <v>13</v>
      </c>
      <c r="K4" s="4">
        <v>93000.0</v>
      </c>
    </row>
    <row r="5">
      <c r="A5" s="3" t="s">
        <v>14</v>
      </c>
      <c r="B5" s="8">
        <f>SUMIF(Sheet1!A:A,"Display Ads",Sheet1!B:B)</f>
        <v>11500</v>
      </c>
      <c r="C5" s="8">
        <f>SUMIF(Sheet1!A:A,"Display Ads",Sheet1!F:F)</f>
        <v>29000</v>
      </c>
      <c r="D5" s="8">
        <f>SUMIF(Sheet1!A:A,"Display Ads",Sheet1!E:E)</f>
        <v>230</v>
      </c>
      <c r="E5" s="3">
        <f t="shared" si="1"/>
        <v>2.52173913</v>
      </c>
      <c r="J5" s="3" t="s">
        <v>14</v>
      </c>
      <c r="K5" s="4">
        <v>29000.0</v>
      </c>
    </row>
    <row r="7">
      <c r="K7" s="7"/>
    </row>
    <row r="8">
      <c r="J8" s="1" t="s">
        <v>0</v>
      </c>
      <c r="K8" s="3" t="s">
        <v>10</v>
      </c>
    </row>
    <row r="9">
      <c r="J9" s="3" t="s">
        <v>11</v>
      </c>
      <c r="K9" s="3">
        <v>5.052631579</v>
      </c>
    </row>
    <row r="10">
      <c r="J10" s="3" t="s">
        <v>12</v>
      </c>
      <c r="K10" s="3">
        <v>2.774193548</v>
      </c>
    </row>
    <row r="11">
      <c r="J11" s="3" t="s">
        <v>13</v>
      </c>
      <c r="K11" s="3">
        <v>3.72</v>
      </c>
    </row>
    <row r="12">
      <c r="J12" s="3" t="s">
        <v>14</v>
      </c>
      <c r="K12" s="3">
        <v>2.52173913</v>
      </c>
    </row>
    <row r="20">
      <c r="B20" s="7" t="s">
        <v>18</v>
      </c>
    </row>
    <row r="21">
      <c r="B21" s="7" t="s">
        <v>19</v>
      </c>
    </row>
    <row r="32">
      <c r="B32" s="7" t="s">
        <v>20</v>
      </c>
    </row>
    <row r="33">
      <c r="B33" s="7" t="s">
        <v>21</v>
      </c>
    </row>
    <row r="44">
      <c r="B44" s="7" t="s">
        <v>22</v>
      </c>
    </row>
    <row r="45">
      <c r="B45" s="7" t="s">
        <v>23</v>
      </c>
    </row>
  </sheetData>
  <drawing r:id="rId1"/>
</worksheet>
</file>